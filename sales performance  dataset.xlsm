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14"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lenov\Downloads\"/>
    </mc:Choice>
  </mc:AlternateContent>
  <xr:revisionPtr revIDLastSave="0" documentId="13_ncr:1_{AD84B937-F973-4416-AA09-81A569B23519}" xr6:coauthVersionLast="47" xr6:coauthVersionMax="47" xr10:uidLastSave="{00000000-0000-0000-0000-000000000000}"/>
  <bookViews>
    <workbookView xWindow="-108" yWindow="-108" windowWidth="23256" windowHeight="12456" xr2:uid="{81D512C5-DFD0-45A9-BA7A-3679803E1A90}"/>
  </bookViews>
  <sheets>
    <sheet name="RAW DATA" sheetId="1" r:id="rId1"/>
    <sheet name="Sheet1" sheetId="3"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<sst xmlns="http://schemas.openxmlformats.org/spreadsheetml/2006/main" count="465" uniqueCount="307">
  <si>
    <t>Emp Code</t>
  </si>
  <si>
    <t>Sales Executive</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</si>
  <si>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</si>
  <si>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</si>
  <si>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</si>
  <si>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</si>
  <si>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</si>
  <si>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</si>
  <si>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</si>
  <si>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</si>
  <si>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</si>
  <si>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</si>
  <si>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</si>
  <si>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</si>
  <si>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</si>
  <si>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</si>
  <si>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</si>
  <si>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</si>
  <si>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</si>
  <si>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</si>
  <si>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</si>
  <si>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</si>
  <si>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</si>
  <si>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</si>
  <si>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</si>
  <si>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</si>
  <si>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</si>
  <si>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</si>
  <si>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</si>
  <si>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</si>
  <si>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</si>
  <si>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</si>
  <si>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</si>
  <si>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</si>
  <si>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</si>
  <si>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</si>
  <si>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</si>
  <si>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</si>
  <si>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</si>
  <si>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</si>
  <si>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</si>
  <si>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</si>
  <si>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</si>
  <si>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</si>
  <si>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</si>
  <si>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</si>
  <si>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</si>
  <si>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</si>
  <si>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</si>
  <si>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</si>
  <si>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</si>
  <si>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</si>
  <si>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</si>
  <si>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</si>
  <si>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</si>
  <si>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</si>
  <si>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</si>
  <si>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</si>
  <si>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</si>
  <si>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</si>
  <si>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</si>
  <si>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</si>
  <si>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</si>
  <si>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</si>
  <si>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</si>
  <si>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</si>
  <si>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</si>
  <si>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</si>
  <si>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</si>
  <si>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</si>
  <si>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</si>
  <si>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</si>
  <si>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</si>
  <si>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</si>
  <si>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</si>
  <si>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</si>
  <si>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</si>
  <si>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</si>
  <si>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</si>
  <si>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</si>
  <si>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</si>
  <si>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</si>
  <si>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</si>
  <si>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</si>
  <si>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</si>
  <si>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</si>
  <si>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</si>
  <si>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</si>
  <si>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</si>
  <si>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</si>
  <si>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</si>
  <si>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</si>
  <si>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</si>
  <si>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</si>
  <si>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</si>
  <si>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</si>
  <si>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</si>
  <si>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</si>
  <si>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</si>
  <si>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</si>
  <si>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</si>
  <si>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</si>
  <si>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</si>
  <si>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</si>
  <si>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</si>
  <si>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</si>
  <si>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</si>
  <si>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</si>
  <si>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</si>
  <si>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</si>
  <si>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</si>
  <si>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</si>
  <si>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</si>
  <si>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</si>
  <si>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</si>
  <si>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</si>
  <si>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</si>
  <si>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</si>
  <si>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</si>
  <si>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</si>
  <si>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</si>
  <si>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</si>
  <si>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</si>
  <si>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</si>
  <si>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</si>
  <si>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</si>
  <si>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</si>
  <si>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</si>
  <si>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</si>
  <si>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</si>
  <si>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</si>
  <si>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</si>
  <si>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</si>
  <si>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</si>
  <si>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</si>
  <si>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</si>
  <si>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</si>
  <si>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</si>
  <si>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</si>
  <si>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</si>
  <si>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</si>
  <si>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</si>
  <si>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</si>
  <si>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</si>
  <si>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</si>
  <si>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</si>
  <si>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</si>
  <si>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</si>
  <si>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</si>
  <si>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</si>
  <si>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</si>
  <si>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</si>
  <si>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</si>
  <si>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</si>
  <si>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</si>
  <si>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</si>
  <si>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</si>
  <si>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</si>
  <si>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</si>
  <si>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</si>
  <si>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</si>
  <si>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</si>
  <si>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</si>
  <si>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</si>
  <si>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</si>
  <si>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</si>
  <si>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</si>
  <si>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</si>
  <si>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</si>
  <si>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</si>
  <si>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</si>
  <si>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</si>
  <si>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</si>
  <si>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</si>
  <si>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</si>
  <si>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</si>
  <si>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</si>
  <si>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</si>
  <si>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</si>
  <si>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</si>
  <si>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</si>
  <si>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</si>
  <si>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</si>
  <si>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</si>
  <si>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</si>
  <si>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</si>
  <si>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</si>
  <si>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</si>
  <si>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</si>
  <si>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</si>
  <si>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</si>
  <si>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</si>
  <si>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</si>
  <si>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</si>
  <si>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</si>
  <si>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</si>
  <si>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</si>
  <si>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</si>
  <si>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</si>
  <si>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</si>
  <si>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</si>
  <si>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</si>
  <si>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</si>
  <si>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</si>
  <si>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</si>
  <si>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</si>
  <si>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</si>
  <si>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</si>
  <si>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</si>
  <si>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</si>
  <si>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</si>
  <si>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</si>
  <si>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</si>
  <si>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</si>
  <si>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</si>
  <si>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</si>
  <si>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</si>
  <si>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</si>
  <si>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</si>
  <si>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</si>
  <si>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</si>
  <si>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</si>
  <si>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</si>
  <si>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</si>
  <si>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</si>
  <si>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</si>
  <si>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</si>
  <si>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</si>
  <si>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</si>
  <si>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</si>
  <si>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</si>
  <si>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</si>
  <si>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</si>
  <si>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</si>
  <si>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</si>
  <si>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</si>
  <si>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</si>
  <si>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</si>
  <si>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</si>
  <si>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</si>
  <si>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</si>
  <si>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</si>
  <si>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</si>
  <si>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</si>
  <si>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</si>
  <si>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</si>
  <si>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</si>
  <si>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</si>
  <si>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</si>
  <si>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</si>
  <si>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</si>
  <si>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</si>
  <si>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</si>
  <si>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</si>
  <si>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</si>
  <si>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</si>
  <si>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</si>
  <si>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</si>
  <si>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</si>
  <si>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</si>
  <si>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</si>
  <si>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</si>
  <si>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</si>
  <si>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</si>
  <si>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</si>
  <si>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</si>
  <si>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</si>
  <si>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</si>
  <si>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</si>
  <si>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</si>
  <si>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</si>
  <si>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</si>
  <si>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</si>
  <si>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</si>
  <si>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</si>
  <si>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</si>
  <si>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</si>
  <si>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</si>
  <si>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</si>
  <si>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</si>
  <si>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</si>
  <si>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</si>
  <si>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</si>
  <si>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</si>
  <si>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</si>
  <si>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</si>
  <si>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</si>
  <si>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</si>
  <si>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</si>
  <si>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</si>
  <si>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</si>
  <si>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</si>
  <si>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</si>
  <si>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</si>
  <si>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</si>
  <si>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</si>
  <si>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</si>
  <si>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</si>
  <si>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</si>
  <si>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</si>
  <si>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</si>
  <si>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</si>
  <si>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Grand Total</t>
  </si>
  <si>
    <t>sales executive</t>
  </si>
  <si>
    <t>total_sales</t>
  </si>
  <si>
    <t>Target Hit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</si>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</sst>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5" borderId="0" xfId="0" applyFill="1"/>
  </cellXfs>
  <cellStyles count="2">
    <cellStyle name="Normal" xfId="0" builtinId="0"/>
    <cellStyle name="Percent" xfId="1" builtinId="5"/>
  </cellStyles>
  <dxfs count="3">
    <dxf>
      <fill>
        <patternFill>
          <bgColor theme="2" tint="-0.24994659260841701"/>
        </patternFill>
      </fill>
    </dxf>
    <dxf>
      <fill>
        <patternFill>
          <bgColor theme="2" tint="-9.9948118533890809E-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2"/>
    </tableStyle>
    <tableStyle name="Slicer Style 2" pivot="0" table="0" count="1" xr9:uid="{6A5EB070-C9D8-47C1-ADDA-F686EA5F6110}">
      <tableStyleElement type="wholeTable" dxfId="1"/>
    </tableStyle>
    <tableStyle name="Slicer Style 3" pivot="0" table="0" count="1" xr9:uid="{01966C2D-AA03-473A-80CD-D1828E36EC85}">
      <tableStyleElement type="wholeTable" dxfId="0"/>
    </tableStyle>
  </tableStyles>
  <extLst>
    <ext xmlns:x14="http://schemas.microsoft.com/office/spreadsheetml/2009/9/main" uri="{46F421CA-312F-682f-3DD2-61675219B42D}">
      <x14:dxfs count="4">
        <dxf>
          <fill>
            <patternFill>
              <bgColor rgb="FFFFC000"/>
            </patternFill>
          </fill>
        </dxf>
        <dxf>
          <fill>
            <patternFill>
              <bgColor rgb="FF00B0F0"/>
            </patternFill>
          </fill>
        </dxf>
        <dxf>
          <fill>
            <patternFill>
              <bgColor rgb="FFC000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s>
    <c:plotArea>
      <c:layout>
        <c:manualLayout>
          <c:layoutTarget val="inner"/>
          <c:xMode val="edge"/>
          <c:yMode val="edge"/>
          <c:x val="0.33473062767980455"/>
          <c:y val="6.0851926977687626E-2"/>
          <c:w val="0.60558158535968132"/>
          <c:h val="0.85125084516565241"/>
        </c:manualLayout>
      </c:layout>
      <c:barChart>
        <c:barDir val="bar"/>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Anikuttan</c:v>
                </c:pt>
                <c:pt idx="1">
                  <c:v>Arvind Sharma</c:v>
                </c:pt>
                <c:pt idx="2">
                  <c:v>Jagdish Chandra</c:v>
                </c:pt>
                <c:pt idx="3">
                  <c:v>Miny Mole</c:v>
                </c:pt>
                <c:pt idx="4">
                  <c:v>Rachita Anupam</c:v>
                </c:pt>
              </c:strCache>
            </c:strRef>
          </c:cat>
          <c:val>
            <c:numRef>
              <c:f>Sheet1!$B$4:$B$9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CD7-4EB3-9762-359D676024AD}"/>
            </c:ext>
          </c:extLst>
        </c:ser>
        <c:dLbls>
          <c:showLegendKey val="0"/>
          <c:showVal val="0"/>
          <c:showCatName val="0"/>
          <c:showSerName val="0"/>
          <c:showPercent val="0"/>
          <c:showBubbleSize val="0"/>
        </c:dLbls>
        <c:gapWidth val="182"/>
        <c:axId val="1213130335"/>
        <c:axId val="1213135615"/>
      </c:barChart>
      <c:catAx>
        <c:axId val="12131303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135615"/>
        <c:crosses val="autoZero"/>
        <c:auto val="1"/>
        <c:lblAlgn val="ctr"/>
        <c:lblOffset val="100"/>
        <c:noMultiLvlLbl val="0"/>
      </c:catAx>
      <c:valAx>
        <c:axId val="1213135615"/>
        <c:scaling>
          <c:orientation val="minMax"/>
        </c:scaling>
        <c:delete val="1"/>
        <c:axPos val="b"/>
        <c:numFmt formatCode="General" sourceLinked="1"/>
        <c:majorTickMark val="none"/>
        <c:minorTickMark val="none"/>
        <c:tickLblPos val="nextTo"/>
        <c:crossAx val="1213130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13593423589908404"/>
              <c:y val="0.17208038389140748"/>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dLbl>
          <c:idx val="0"/>
          <c:layout>
            <c:manualLayout>
              <c:x val="-0.14585475922652533"/>
              <c:y val="0.20434475993531109"/>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0.1839141759065831"/>
              <c:y val="-0.1017434184363318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dLbl>
          <c:idx val="0"/>
          <c:layout>
            <c:manualLayout>
              <c:x val="0.18100728480368522"/>
              <c:y val="-9.7009994962750867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5"/>
        <c:dLbl>
          <c:idx val="0"/>
          <c:layout>
            <c:manualLayout>
              <c:x val="7.9282500401735498E-3"/>
              <c:y val="-0.11097855192343381"/>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7C1-458B-A96D-F6BC8350A75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7C1-458B-A96D-F6BC8350A75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67C1-458B-A96D-F6BC8350A75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7C1-458B-A96D-F6BC8350A75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7C1-458B-A96D-F6BC8350A75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Dinesh Kumar</c:v>
                </c:pt>
                <c:pt idx="1">
                  <c:v>Omprakash O</c:v>
                </c:pt>
                <c:pt idx="2">
                  <c:v>Pankaj Shelkey</c:v>
                </c:pt>
                <c:pt idx="3">
                  <c:v>Prabha Desikan</c:v>
                </c:pt>
                <c:pt idx="4">
                  <c:v>Praveen Kumar</c:v>
                </c:pt>
              </c:strCache>
            </c:strRef>
          </c:cat>
          <c:val>
            <c:numRef>
              <c:f>Sheet1!$H$4:$H$8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67C1-458B-A96D-F6BC8350A75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project.xlsm]Sheet1!PivotTable7</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462643615829012E-2"/>
          <c:y val="9.260206110599811E-4"/>
          <c:w val="0.80688845144356969"/>
          <c:h val="0.67500801983085446"/>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770A-423A-885E-968C319A5E34}"/>
            </c:ext>
          </c:extLst>
        </c:ser>
        <c:dLbls>
          <c:showLegendKey val="0"/>
          <c:showVal val="0"/>
          <c:showCatName val="0"/>
          <c:showSerName val="0"/>
          <c:showPercent val="0"/>
          <c:showBubbleSize val="0"/>
        </c:dLbls>
        <c:smooth val="0"/>
        <c:axId val="1479276271"/>
        <c:axId val="1479274351"/>
      </c:lineChart>
      <c:catAx>
        <c:axId val="1479276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79274351"/>
        <c:crosses val="autoZero"/>
        <c:auto val="1"/>
        <c:lblAlgn val="ctr"/>
        <c:lblOffset val="100"/>
        <c:noMultiLvlLbl val="0"/>
      </c:catAx>
      <c:valAx>
        <c:axId val="1479274351"/>
        <c:scaling>
          <c:orientation val="minMax"/>
        </c:scaling>
        <c:delete val="1"/>
        <c:axPos val="l"/>
        <c:numFmt formatCode="0.00%" sourceLinked="1"/>
        <c:majorTickMark val="none"/>
        <c:minorTickMark val="none"/>
        <c:tickLblPos val="nextTo"/>
        <c:crossAx val="147927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68580</xdr:rowOff>
    </xdr:from>
    <xdr:to>
      <xdr:col>4</xdr:col>
      <xdr:colOff>914400</xdr:colOff>
      <xdr:row>21</xdr:row>
      <xdr:rowOff>7620</xdr:rowOff>
    </xdr:to>
    <xdr:graphicFrame macro="">
      <xdr:nvGraphicFramePr>
        <xdr:cNvPr id="2" name="Chart 1">
          <a:extLst>
            <a:ext uri="{FF2B5EF4-FFF2-40B4-BE49-F238E27FC236}">
              <a16:creationId xmlns:a16="http://schemas.microsoft.com/office/drawing/2014/main" id="{1CAA2DED-A560-68E8-6BE7-5EA19A2C60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11</xdr:row>
      <xdr:rowOff>99060</xdr:rowOff>
    </xdr:from>
    <xdr:to>
      <xdr:col>7</xdr:col>
      <xdr:colOff>1729740</xdr:colOff>
      <xdr:row>21</xdr:row>
      <xdr:rowOff>7620</xdr:rowOff>
    </xdr:to>
    <xdr:graphicFrame macro="">
      <xdr:nvGraphicFramePr>
        <xdr:cNvPr id="3" name="Chart 2">
          <a:extLst>
            <a:ext uri="{FF2B5EF4-FFF2-40B4-BE49-F238E27FC236}">
              <a16:creationId xmlns:a16="http://schemas.microsoft.com/office/drawing/2014/main" id="{7A153C1F-D6EB-B4E2-C2A9-60E95FF5CC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45720</xdr:colOff>
      <xdr:row>11</xdr:row>
      <xdr:rowOff>106680</xdr:rowOff>
    </xdr:from>
    <xdr:to>
      <xdr:col>11</xdr:col>
      <xdr:colOff>22860</xdr:colOff>
      <xdr:row>21</xdr:row>
      <xdr:rowOff>15240</xdr:rowOff>
    </xdr:to>
    <xdr:graphicFrame macro="">
      <xdr:nvGraphicFramePr>
        <xdr:cNvPr id="4" name="Chart 3">
          <a:extLst>
            <a:ext uri="{FF2B5EF4-FFF2-40B4-BE49-F238E27FC236}">
              <a16:creationId xmlns:a16="http://schemas.microsoft.com/office/drawing/2014/main" id="{E2B0AF9D-9B97-0926-84EB-454C934DDC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1623060</xdr:colOff>
      <xdr:row>0</xdr:row>
      <xdr:rowOff>342900</xdr:rowOff>
    </xdr:to>
    <mc:AlternateContent xmlns:mc="http://schemas.openxmlformats.org/markup-compatibility/2006" xmlns:a14="http://schemas.microsoft.com/office/drawing/2010/main">
      <mc:Choice Requires="a14">
        <xdr:graphicFrame macro="[0]!dashboard">
          <xdr:nvGraphicFramePr>
            <xdr:cNvPr id="5" name="Region 1">
              <a:extLst>
                <a:ext uri="{FF2B5EF4-FFF2-40B4-BE49-F238E27FC236}">
                  <a16:creationId xmlns:a16="http://schemas.microsoft.com/office/drawing/2014/main" id="{D76790DB-31C2-47A9-E432-9EC45B6420C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0119360" cy="342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5FCBDF-7258-46FF-B56D-D80480075C93}" name="PivotTable7"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ACAC15-99CC-47DC-8654-F267D98770B4}"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26"/>
          </reference>
        </references>
      </pivotArea>
    </chartFormat>
    <chartFormat chart="0" format="7">
      <pivotArea type="data" outline="0" fieldPosition="0">
        <references count="2">
          <reference field="4294967294" count="1" selected="0">
            <x v="0"/>
          </reference>
          <reference field="1" count="1" selected="0">
            <x v="70"/>
          </reference>
        </references>
      </pivotArea>
    </chartFormat>
    <chartFormat chart="0" format="8">
      <pivotArea type="data" outline="0" fieldPosition="0">
        <references count="2">
          <reference field="4294967294" count="1" selected="0">
            <x v="0"/>
          </reference>
          <reference field="1" count="1" selected="0">
            <x v="72"/>
          </reference>
        </references>
      </pivotArea>
    </chartFormat>
    <chartFormat chart="0" format="9">
      <pivotArea type="data" outline="0" fieldPosition="0">
        <references count="2">
          <reference field="4294967294" count="1" selected="0">
            <x v="0"/>
          </reference>
          <reference field="1" count="1" selected="0">
            <x v="74"/>
          </reference>
        </references>
      </pivotArea>
    </chartFormat>
    <chartFormat chart="0" format="10">
      <pivotArea type="data" outline="0" fieldPosition="0">
        <references count="2">
          <reference field="4294967294" count="1" selected="0">
            <x v="0"/>
          </reference>
          <reference field="1" count="1" selected="0">
            <x v="77"/>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B1C2EDD-4C0E-44B4-85F4-693C008FDF35}"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_sales" fld="8" baseField="1" baseItem="3"/>
  </dataFields>
  <pivotTableStyleInfo name="PivotStyleLight16"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0FC951-84A5-4BD8-BD9F-33AB4D1E8435}"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_sales" fld="8" baseField="1" baseItem="3"/>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DF54E63-375B-4134-9468-0BA695755D68}"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2BE67EA-7A66-4820-BAE1-48F541F5C217}" cache="Slicer_Region1" caption="Region" columnCount="8" showCaption="0" style="Slicer Style 1" rowHeight="14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301</v>
      </c>
      <c r="D1" s="1" t="s">
        <v>2</v>
      </c>
      <c r="E1" s="1" t="s">
        <v>3</v>
      </c>
      <c r="F1" s="1" t="s">
        <v>4</v>
      </c>
      <c r="G1" s="1" t="s">
        <v>5</v>
      </c>
      <c r="H1" s="1" t="s">
        <v>6</v>
      </c>
      <c r="I1" s="1" t="s">
        <v>7</v>
      </c>
      <c r="J1" s="1" t="s">
        <v>8</v>
      </c>
      <c r="K1" s="1" t="s">
        <v>9</v>
      </c>
      <c r="L1" s="1" t="s">
        <v>10</v>
      </c>
    </row>
    <row r="2" spans="1:12" x14ac:dyDescent="0.3">
      <c r="A2" s="2" t="s">
        <v>11</v>
      </c>
      <c r="B2" s="3" t="s">
        <v>12</v>
      </c>
      <c r="C2" s="3" t="s">
        <v>13</v>
      </c>
      <c r="D2" s="4">
        <v>49</v>
      </c>
      <c r="E2" s="4">
        <v>84</v>
      </c>
      <c r="F2" s="4">
        <v>98</v>
      </c>
      <c r="G2" s="4">
        <v>67</v>
      </c>
      <c r="H2" s="4">
        <v>41</v>
      </c>
      <c r="I2" s="5">
        <f>SUM(D2:H2)</f>
        <v>339</v>
      </c>
      <c r="J2" s="5">
        <v>500</v>
      </c>
      <c r="K2" s="6">
        <f>I2/J2</f>
        <v>0.67800000000000005</v>
      </c>
      <c r="L2" s="7">
        <f>100%-K2</f>
        <v>0.32199999999999995</v>
      </c>
    </row>
    <row r="3" spans="1:12" x14ac:dyDescent="0.3">
      <c r="A3" s="2" t="s">
        <v>14</v>
      </c>
      <c r="B3" s="3" t="s">
        <v>15</v>
      </c>
      <c r="C3" s="3" t="s">
        <v>16</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17</v>
      </c>
      <c r="B4" s="3" t="s">
        <v>18</v>
      </c>
      <c r="C4" s="3" t="s">
        <v>19</v>
      </c>
      <c r="D4" s="4">
        <v>45</v>
      </c>
      <c r="E4" s="4">
        <v>79</v>
      </c>
      <c r="F4" s="4">
        <v>88</v>
      </c>
      <c r="G4" s="4">
        <v>73</v>
      </c>
      <c r="H4" s="4">
        <v>94</v>
      </c>
      <c r="I4" s="5">
        <f t="shared" si="0"/>
        <v>379</v>
      </c>
      <c r="J4" s="5">
        <v>500</v>
      </c>
      <c r="K4" s="6">
        <f t="shared" si="1"/>
        <v>0.75800000000000001</v>
      </c>
      <c r="L4" s="7">
        <f t="shared" si="2"/>
        <v>0.24199999999999999</v>
      </c>
    </row>
    <row r="5" spans="1:12" x14ac:dyDescent="0.3">
      <c r="A5" s="2" t="s">
        <v>20</v>
      </c>
      <c r="B5" s="3" t="s">
        <v>21</v>
      </c>
      <c r="C5" s="3" t="s">
        <v>22</v>
      </c>
      <c r="D5" s="4">
        <v>52</v>
      </c>
      <c r="E5" s="4">
        <v>99</v>
      </c>
      <c r="F5" s="4">
        <v>13</v>
      </c>
      <c r="G5" s="4">
        <v>95</v>
      </c>
      <c r="H5" s="4">
        <v>29</v>
      </c>
      <c r="I5" s="5">
        <f t="shared" si="0"/>
        <v>288</v>
      </c>
      <c r="J5" s="5">
        <v>500</v>
      </c>
      <c r="K5" s="6">
        <f t="shared" si="1"/>
        <v>0.57599999999999996</v>
      </c>
      <c r="L5" s="7">
        <f t="shared" si="2"/>
        <v>0.42400000000000004</v>
      </c>
    </row>
    <row r="6" spans="1:12" x14ac:dyDescent="0.3">
      <c r="A6" s="2" t="s">
        <v>23</v>
      </c>
      <c r="B6" s="3" t="s">
        <v>24</v>
      </c>
      <c r="C6" s="3" t="s">
        <v>25</v>
      </c>
      <c r="D6" s="4">
        <v>35</v>
      </c>
      <c r="E6" s="4">
        <v>54</v>
      </c>
      <c r="F6" s="4">
        <v>49</v>
      </c>
      <c r="G6" s="4">
        <v>26</v>
      </c>
      <c r="H6" s="4">
        <v>49</v>
      </c>
      <c r="I6" s="5">
        <f t="shared" si="0"/>
        <v>213</v>
      </c>
      <c r="J6" s="5">
        <v>500</v>
      </c>
      <c r="K6" s="6">
        <f t="shared" si="1"/>
        <v>0.42599999999999999</v>
      </c>
      <c r="L6" s="7">
        <f t="shared" si="2"/>
        <v>0.57400000000000007</v>
      </c>
    </row>
    <row r="7" spans="1:12" x14ac:dyDescent="0.3">
      <c r="A7" s="2" t="s">
        <v>26</v>
      </c>
      <c r="B7" s="3" t="s">
        <v>27</v>
      </c>
      <c r="C7" s="3" t="s">
        <v>28</v>
      </c>
      <c r="D7" s="4">
        <v>86</v>
      </c>
      <c r="E7" s="4">
        <v>31</v>
      </c>
      <c r="F7" s="4">
        <v>23</v>
      </c>
      <c r="G7" s="4">
        <v>48</v>
      </c>
      <c r="H7" s="4">
        <v>77</v>
      </c>
      <c r="I7" s="5">
        <f t="shared" si="0"/>
        <v>265</v>
      </c>
      <c r="J7" s="5">
        <v>500</v>
      </c>
      <c r="K7" s="6">
        <f t="shared" si="1"/>
        <v>0.53</v>
      </c>
      <c r="L7" s="7">
        <f t="shared" si="2"/>
        <v>0.47</v>
      </c>
    </row>
    <row r="8" spans="1:12" x14ac:dyDescent="0.3">
      <c r="A8" s="2" t="s">
        <v>29</v>
      </c>
      <c r="B8" s="3" t="s">
        <v>30</v>
      </c>
      <c r="C8" s="3" t="s">
        <v>31</v>
      </c>
      <c r="D8" s="4">
        <v>84</v>
      </c>
      <c r="E8" s="4">
        <v>28</v>
      </c>
      <c r="F8" s="4">
        <v>98</v>
      </c>
      <c r="G8" s="4">
        <v>80</v>
      </c>
      <c r="H8" s="4">
        <v>79</v>
      </c>
      <c r="I8" s="5">
        <f t="shared" si="0"/>
        <v>369</v>
      </c>
      <c r="J8" s="5">
        <v>500</v>
      </c>
      <c r="K8" s="6">
        <f t="shared" si="1"/>
        <v>0.73799999999999999</v>
      </c>
      <c r="L8" s="7">
        <f t="shared" si="2"/>
        <v>0.26200000000000001</v>
      </c>
    </row>
    <row r="9" spans="1:12" x14ac:dyDescent="0.3">
      <c r="A9" s="2" t="s">
        <v>32</v>
      </c>
      <c r="B9" s="3" t="s">
        <v>33</v>
      </c>
      <c r="C9" s="3" t="s">
        <v>34</v>
      </c>
      <c r="D9" s="4">
        <v>73</v>
      </c>
      <c r="E9" s="4">
        <v>97</v>
      </c>
      <c r="F9" s="4">
        <v>38</v>
      </c>
      <c r="G9" s="4">
        <v>24</v>
      </c>
      <c r="H9" s="4">
        <v>53</v>
      </c>
      <c r="I9" s="5">
        <f t="shared" si="0"/>
        <v>285</v>
      </c>
      <c r="J9" s="5">
        <v>500</v>
      </c>
      <c r="K9" s="6">
        <f t="shared" si="1"/>
        <v>0.56999999999999995</v>
      </c>
      <c r="L9" s="7">
        <f t="shared" si="2"/>
        <v>0.43000000000000005</v>
      </c>
    </row>
    <row r="10" spans="1:12" x14ac:dyDescent="0.3">
      <c r="A10" s="2" t="s">
        <v>35</v>
      </c>
      <c r="B10" s="3" t="s">
        <v>36</v>
      </c>
      <c r="C10" s="3" t="s">
        <v>13</v>
      </c>
      <c r="D10" s="4">
        <v>54</v>
      </c>
      <c r="E10" s="4">
        <v>26</v>
      </c>
      <c r="F10" s="4">
        <v>53</v>
      </c>
      <c r="G10" s="4">
        <v>36</v>
      </c>
      <c r="H10" s="4">
        <v>20</v>
      </c>
      <c r="I10" s="5">
        <f t="shared" si="0"/>
        <v>189</v>
      </c>
      <c r="J10" s="5">
        <v>500</v>
      </c>
      <c r="K10" s="6">
        <f t="shared" si="1"/>
        <v>0.378</v>
      </c>
      <c r="L10" s="7">
        <f t="shared" si="2"/>
        <v>0.622</v>
      </c>
    </row>
    <row r="11" spans="1:12" x14ac:dyDescent="0.3">
      <c r="A11" s="2" t="s">
        <v>37</v>
      </c>
      <c r="B11" s="3" t="s">
        <v>38</v>
      </c>
      <c r="C11" s="3" t="s">
        <v>16</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39</v>
      </c>
      <c r="B12" s="3" t="s">
        <v>40</v>
      </c>
      <c r="C12" s="3" t="s">
        <v>19</v>
      </c>
      <c r="D12" s="4">
        <v>63</v>
      </c>
      <c r="E12" s="4">
        <v>17</v>
      </c>
      <c r="F12" s="4">
        <v>40</v>
      </c>
      <c r="G12" s="4">
        <v>48</v>
      </c>
      <c r="H12" s="4">
        <v>51</v>
      </c>
      <c r="I12" s="5">
        <f t="shared" si="0"/>
        <v>219</v>
      </c>
      <c r="J12" s="5">
        <v>500</v>
      </c>
      <c r="K12" s="6">
        <f t="shared" si="1"/>
        <v>0.438</v>
      </c>
      <c r="L12" s="7">
        <f t="shared" si="2"/>
        <v>0.56200000000000006</v>
      </c>
    </row>
    <row r="13" spans="1:12" x14ac:dyDescent="0.3">
      <c r="A13" s="2" t="s">
        <v>41</v>
      </c>
      <c r="B13" s="3" t="s">
        <v>42</v>
      </c>
      <c r="C13" s="3" t="s">
        <v>22</v>
      </c>
      <c r="D13" s="4">
        <v>79</v>
      </c>
      <c r="E13" s="4">
        <v>99</v>
      </c>
      <c r="F13" s="4">
        <v>95</v>
      </c>
      <c r="G13" s="4">
        <v>12</v>
      </c>
      <c r="H13" s="4">
        <v>91</v>
      </c>
      <c r="I13" s="5">
        <f t="shared" si="0"/>
        <v>376</v>
      </c>
      <c r="J13" s="5">
        <v>500</v>
      </c>
      <c r="K13" s="6">
        <f t="shared" si="1"/>
        <v>0.752</v>
      </c>
      <c r="L13" s="7">
        <f t="shared" si="2"/>
        <v>0.248</v>
      </c>
    </row>
    <row r="14" spans="1:12" x14ac:dyDescent="0.3">
      <c r="A14" s="2" t="s">
        <v>43</v>
      </c>
      <c r="B14" s="3" t="s">
        <v>44</v>
      </c>
      <c r="C14" s="3" t="s">
        <v>25</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45</v>
      </c>
      <c r="B15" s="3" t="s">
        <v>46</v>
      </c>
      <c r="C15" s="3" t="s">
        <v>28</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47</v>
      </c>
      <c r="B16" s="3" t="s">
        <v>48</v>
      </c>
      <c r="C16" s="3" t="s">
        <v>31</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49</v>
      </c>
      <c r="B17" s="3" t="s">
        <v>50</v>
      </c>
      <c r="C17" s="3" t="s">
        <v>34</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51</v>
      </c>
      <c r="B18" s="3" t="s">
        <v>52</v>
      </c>
      <c r="C18" s="3" t="s">
        <v>13</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53</v>
      </c>
      <c r="B19" s="3" t="s">
        <v>54</v>
      </c>
      <c r="C19" s="3" t="s">
        <v>16</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55</v>
      </c>
      <c r="B20" s="3" t="s">
        <v>56</v>
      </c>
      <c r="C20" s="3" t="s">
        <v>19</v>
      </c>
      <c r="D20" s="4">
        <v>19</v>
      </c>
      <c r="E20" s="4">
        <v>34</v>
      </c>
      <c r="F20" s="4">
        <v>64</v>
      </c>
      <c r="G20" s="4">
        <v>65</v>
      </c>
      <c r="H20" s="4">
        <v>70</v>
      </c>
      <c r="I20" s="5">
        <f t="shared" si="0"/>
        <v>252</v>
      </c>
      <c r="J20" s="5">
        <v>500</v>
      </c>
      <c r="K20" s="6">
        <f t="shared" si="1"/>
        <v>0.504</v>
      </c>
      <c r="L20" s="7">
        <f t="shared" si="2"/>
        <v>0.496</v>
      </c>
    </row>
    <row r="21" spans="1:12" x14ac:dyDescent="0.3">
      <c r="A21" s="2" t="s">
        <v>57</v>
      </c>
      <c r="B21" s="3" t="s">
        <v>58</v>
      </c>
      <c r="C21" s="3" t="s">
        <v>22</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59</v>
      </c>
      <c r="B22" s="3" t="s">
        <v>60</v>
      </c>
      <c r="C22" s="3" t="s">
        <v>25</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61</v>
      </c>
      <c r="B23" s="3" t="s">
        <v>62</v>
      </c>
      <c r="C23" s="3" t="s">
        <v>28</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63</v>
      </c>
      <c r="B24" s="3" t="s">
        <v>64</v>
      </c>
      <c r="C24" s="3" t="s">
        <v>31</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65</v>
      </c>
      <c r="B25" s="3" t="s">
        <v>66</v>
      </c>
      <c r="C25" s="3" t="s">
        <v>34</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67</v>
      </c>
      <c r="B26" s="3" t="s">
        <v>68</v>
      </c>
      <c r="C26" s="3" t="s">
        <v>13</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69</v>
      </c>
      <c r="B27" s="3" t="s">
        <v>70</v>
      </c>
      <c r="C27" s="3" t="s">
        <v>16</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71</v>
      </c>
      <c r="B28" s="3" t="s">
        <v>72</v>
      </c>
      <c r="C28" s="3" t="s">
        <v>19</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73</v>
      </c>
      <c r="B29" s="3" t="s">
        <v>74</v>
      </c>
      <c r="C29" s="3" t="s">
        <v>22</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75</v>
      </c>
      <c r="B30" s="3" t="s">
        <v>76</v>
      </c>
      <c r="C30" s="3" t="s">
        <v>25</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77</v>
      </c>
      <c r="B31" s="3" t="s">
        <v>78</v>
      </c>
      <c r="C31" s="3" t="s">
        <v>28</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79</v>
      </c>
      <c r="B32" s="3" t="s">
        <v>80</v>
      </c>
      <c r="C32" s="3" t="s">
        <v>31</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81</v>
      </c>
      <c r="B33" s="3" t="s">
        <v>82</v>
      </c>
      <c r="C33" s="3" t="s">
        <v>34</v>
      </c>
      <c r="D33" s="4">
        <v>37</v>
      </c>
      <c r="E33" s="4">
        <v>30</v>
      </c>
      <c r="F33" s="4">
        <v>19</v>
      </c>
      <c r="G33" s="4">
        <v>77</v>
      </c>
      <c r="H33" s="4">
        <v>67</v>
      </c>
      <c r="I33" s="5">
        <f t="shared" si="0"/>
        <v>230</v>
      </c>
      <c r="J33" s="5">
        <v>500</v>
      </c>
      <c r="K33" s="6">
        <f t="shared" si="1"/>
        <v>0.46</v>
      </c>
      <c r="L33" s="7">
        <f t="shared" si="2"/>
        <v>0.54</v>
      </c>
    </row>
    <row r="34" spans="1:12" x14ac:dyDescent="0.3">
      <c r="A34" s="2" t="s">
        <v>83</v>
      </c>
      <c r="B34" s="3" t="s">
        <v>84</v>
      </c>
      <c r="C34" s="3" t="s">
        <v>13</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85</v>
      </c>
      <c r="B35" s="3" t="s">
        <v>86</v>
      </c>
      <c r="C35" s="3" t="s">
        <v>16</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87</v>
      </c>
      <c r="B36" s="3" t="s">
        <v>88</v>
      </c>
      <c r="C36" s="3" t="s">
        <v>19</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89</v>
      </c>
      <c r="B37" s="3" t="s">
        <v>90</v>
      </c>
      <c r="C37" s="3" t="s">
        <v>22</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91</v>
      </c>
      <c r="B38" s="3" t="s">
        <v>92</v>
      </c>
      <c r="C38" s="3" t="s">
        <v>25</v>
      </c>
      <c r="D38" s="4">
        <v>91</v>
      </c>
      <c r="E38" s="4">
        <v>13</v>
      </c>
      <c r="F38" s="4">
        <v>79</v>
      </c>
      <c r="G38" s="4">
        <v>85</v>
      </c>
      <c r="H38" s="4">
        <v>67</v>
      </c>
      <c r="I38" s="5">
        <f t="shared" si="0"/>
        <v>335</v>
      </c>
      <c r="J38" s="5">
        <v>500</v>
      </c>
      <c r="K38" s="6">
        <f t="shared" si="1"/>
        <v>0.67</v>
      </c>
      <c r="L38" s="7">
        <f t="shared" si="2"/>
        <v>0.32999999999999996</v>
      </c>
    </row>
    <row r="39" spans="1:12" x14ac:dyDescent="0.3">
      <c r="A39" s="2" t="s">
        <v>93</v>
      </c>
      <c r="B39" s="3" t="s">
        <v>94</v>
      </c>
      <c r="C39" s="3" t="s">
        <v>28</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95</v>
      </c>
      <c r="B40" s="3" t="s">
        <v>96</v>
      </c>
      <c r="C40" s="3" t="s">
        <v>31</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97</v>
      </c>
      <c r="B41" s="3" t="s">
        <v>98</v>
      </c>
      <c r="C41" s="3" t="s">
        <v>34</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99</v>
      </c>
      <c r="B42" s="3" t="s">
        <v>100</v>
      </c>
      <c r="C42" s="3" t="s">
        <v>13</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101</v>
      </c>
      <c r="B43" s="3" t="s">
        <v>102</v>
      </c>
      <c r="C43" s="3" t="s">
        <v>16</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103</v>
      </c>
      <c r="B44" s="3" t="s">
        <v>104</v>
      </c>
      <c r="C44" s="3" t="s">
        <v>19</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105</v>
      </c>
      <c r="B45" s="3" t="s">
        <v>106</v>
      </c>
      <c r="C45" s="3" t="s">
        <v>22</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107</v>
      </c>
      <c r="B46" s="3" t="s">
        <v>108</v>
      </c>
      <c r="C46" s="3" t="s">
        <v>25</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109</v>
      </c>
      <c r="B47" s="3" t="s">
        <v>110</v>
      </c>
      <c r="C47" s="3" t="s">
        <v>28</v>
      </c>
      <c r="D47" s="4">
        <v>49</v>
      </c>
      <c r="E47" s="4">
        <v>82</v>
      </c>
      <c r="F47" s="4">
        <v>95</v>
      </c>
      <c r="G47" s="4">
        <v>46</v>
      </c>
      <c r="H47" s="4">
        <v>78</v>
      </c>
      <c r="I47" s="5">
        <f t="shared" si="0"/>
        <v>350</v>
      </c>
      <c r="J47" s="5">
        <v>500</v>
      </c>
      <c r="K47" s="6">
        <f t="shared" si="1"/>
        <v>0.7</v>
      </c>
      <c r="L47" s="7">
        <f t="shared" si="2"/>
        <v>0.30000000000000004</v>
      </c>
    </row>
    <row r="48" spans="1:12" x14ac:dyDescent="0.3">
      <c r="A48" s="2" t="s">
        <v>111</v>
      </c>
      <c r="B48" s="3" t="s">
        <v>112</v>
      </c>
      <c r="C48" s="3" t="s">
        <v>31</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113</v>
      </c>
      <c r="B49" s="3" t="s">
        <v>114</v>
      </c>
      <c r="C49" s="3" t="s">
        <v>34</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115</v>
      </c>
      <c r="B50" s="3" t="s">
        <v>116</v>
      </c>
      <c r="C50" s="3" t="s">
        <v>13</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117</v>
      </c>
      <c r="B51" s="3" t="s">
        <v>118</v>
      </c>
      <c r="C51" s="3" t="s">
        <v>16</v>
      </c>
      <c r="D51" s="4">
        <v>17</v>
      </c>
      <c r="E51" s="4">
        <v>84</v>
      </c>
      <c r="F51" s="4">
        <v>90</v>
      </c>
      <c r="G51" s="4">
        <v>77</v>
      </c>
      <c r="H51" s="4">
        <v>72</v>
      </c>
      <c r="I51" s="5">
        <f t="shared" si="0"/>
        <v>340</v>
      </c>
      <c r="J51" s="5">
        <v>500</v>
      </c>
      <c r="K51" s="6">
        <f t="shared" si="1"/>
        <v>0.68</v>
      </c>
      <c r="L51" s="7">
        <f t="shared" si="2"/>
        <v>0.31999999999999995</v>
      </c>
    </row>
    <row r="52" spans="1:12" x14ac:dyDescent="0.3">
      <c r="A52" s="2" t="s">
        <v>119</v>
      </c>
      <c r="B52" s="3" t="s">
        <v>120</v>
      </c>
      <c r="C52" s="3" t="s">
        <v>19</v>
      </c>
      <c r="D52" s="4">
        <v>52</v>
      </c>
      <c r="E52" s="4">
        <v>36</v>
      </c>
      <c r="F52" s="4">
        <v>84</v>
      </c>
      <c r="G52" s="4">
        <v>41</v>
      </c>
      <c r="H52" s="4">
        <v>57</v>
      </c>
      <c r="I52" s="5">
        <f t="shared" si="0"/>
        <v>270</v>
      </c>
      <c r="J52" s="5">
        <v>500</v>
      </c>
      <c r="K52" s="6">
        <f t="shared" si="1"/>
        <v>0.54</v>
      </c>
      <c r="L52" s="7">
        <f t="shared" si="2"/>
        <v>0.45999999999999996</v>
      </c>
    </row>
    <row r="53" spans="1:12" x14ac:dyDescent="0.3">
      <c r="A53" s="2" t="s">
        <v>121</v>
      </c>
      <c r="B53" s="3" t="s">
        <v>122</v>
      </c>
      <c r="C53" s="3" t="s">
        <v>22</v>
      </c>
      <c r="D53" s="4">
        <v>65</v>
      </c>
      <c r="E53" s="4">
        <v>67</v>
      </c>
      <c r="F53" s="4">
        <v>72</v>
      </c>
      <c r="G53" s="4">
        <v>22</v>
      </c>
      <c r="H53" s="4">
        <v>23</v>
      </c>
      <c r="I53" s="5">
        <f t="shared" si="0"/>
        <v>249</v>
      </c>
      <c r="J53" s="5">
        <v>500</v>
      </c>
      <c r="K53" s="6">
        <f t="shared" si="1"/>
        <v>0.498</v>
      </c>
      <c r="L53" s="7">
        <f t="shared" si="2"/>
        <v>0.502</v>
      </c>
    </row>
    <row r="54" spans="1:12" x14ac:dyDescent="0.3">
      <c r="A54" s="2" t="s">
        <v>123</v>
      </c>
      <c r="B54" s="3" t="s">
        <v>124</v>
      </c>
      <c r="C54" s="3" t="s">
        <v>25</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125</v>
      </c>
      <c r="B55" s="3" t="s">
        <v>126</v>
      </c>
      <c r="C55" s="3" t="s">
        <v>28</v>
      </c>
      <c r="D55" s="4">
        <v>23</v>
      </c>
      <c r="E55" s="4">
        <v>14</v>
      </c>
      <c r="F55" s="4">
        <v>15</v>
      </c>
      <c r="G55" s="4">
        <v>58</v>
      </c>
      <c r="H55" s="4">
        <v>79</v>
      </c>
      <c r="I55" s="5">
        <f t="shared" si="0"/>
        <v>189</v>
      </c>
      <c r="J55" s="5">
        <v>500</v>
      </c>
      <c r="K55" s="6">
        <f t="shared" si="1"/>
        <v>0.378</v>
      </c>
      <c r="L55" s="7">
        <f t="shared" si="2"/>
        <v>0.622</v>
      </c>
    </row>
    <row r="56" spans="1:12" x14ac:dyDescent="0.3">
      <c r="A56" s="2" t="s">
        <v>127</v>
      </c>
      <c r="B56" s="3" t="s">
        <v>128</v>
      </c>
      <c r="C56" s="3" t="s">
        <v>31</v>
      </c>
      <c r="D56" s="4">
        <v>15</v>
      </c>
      <c r="E56" s="4">
        <v>67</v>
      </c>
      <c r="F56" s="4">
        <v>48</v>
      </c>
      <c r="G56" s="4">
        <v>95</v>
      </c>
      <c r="H56" s="4">
        <v>35</v>
      </c>
      <c r="I56" s="5">
        <f t="shared" si="0"/>
        <v>260</v>
      </c>
      <c r="J56" s="5">
        <v>500</v>
      </c>
      <c r="K56" s="6">
        <f t="shared" si="1"/>
        <v>0.52</v>
      </c>
      <c r="L56" s="7">
        <f t="shared" si="2"/>
        <v>0.48</v>
      </c>
    </row>
    <row r="57" spans="1:12" x14ac:dyDescent="0.3">
      <c r="A57" s="2" t="s">
        <v>129</v>
      </c>
      <c r="B57" s="3" t="s">
        <v>130</v>
      </c>
      <c r="C57" s="3" t="s">
        <v>34</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131</v>
      </c>
      <c r="B58" s="3" t="s">
        <v>132</v>
      </c>
      <c r="C58" s="3" t="s">
        <v>13</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133</v>
      </c>
      <c r="B59" s="3" t="s">
        <v>134</v>
      </c>
      <c r="C59" s="3" t="s">
        <v>16</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135</v>
      </c>
      <c r="B60" s="3" t="s">
        <v>136</v>
      </c>
      <c r="C60" s="3" t="s">
        <v>19</v>
      </c>
      <c r="D60" s="4">
        <v>83</v>
      </c>
      <c r="E60" s="4">
        <v>12</v>
      </c>
      <c r="F60" s="4">
        <v>70</v>
      </c>
      <c r="G60" s="4">
        <v>83</v>
      </c>
      <c r="H60" s="4">
        <v>52</v>
      </c>
      <c r="I60" s="5">
        <f t="shared" si="0"/>
        <v>300</v>
      </c>
      <c r="J60" s="5">
        <v>500</v>
      </c>
      <c r="K60" s="6">
        <f t="shared" si="1"/>
        <v>0.6</v>
      </c>
      <c r="L60" s="7">
        <f t="shared" si="2"/>
        <v>0.4</v>
      </c>
    </row>
    <row r="61" spans="1:12" x14ac:dyDescent="0.3">
      <c r="A61" s="2" t="s">
        <v>137</v>
      </c>
      <c r="B61" s="3" t="s">
        <v>138</v>
      </c>
      <c r="C61" s="3" t="s">
        <v>22</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139</v>
      </c>
      <c r="B62" s="3" t="s">
        <v>140</v>
      </c>
      <c r="C62" s="3" t="s">
        <v>25</v>
      </c>
      <c r="D62" s="4">
        <v>40</v>
      </c>
      <c r="E62" s="4">
        <v>70</v>
      </c>
      <c r="F62" s="4">
        <v>19</v>
      </c>
      <c r="G62" s="4">
        <v>36</v>
      </c>
      <c r="H62" s="4">
        <v>52</v>
      </c>
      <c r="I62" s="5">
        <f t="shared" si="0"/>
        <v>217</v>
      </c>
      <c r="J62" s="5">
        <v>500</v>
      </c>
      <c r="K62" s="6">
        <f t="shared" si="1"/>
        <v>0.434</v>
      </c>
      <c r="L62" s="7">
        <f t="shared" si="2"/>
        <v>0.56600000000000006</v>
      </c>
    </row>
    <row r="63" spans="1:12" x14ac:dyDescent="0.3">
      <c r="A63" s="2" t="s">
        <v>141</v>
      </c>
      <c r="B63" s="3" t="s">
        <v>142</v>
      </c>
      <c r="C63" s="3" t="s">
        <v>28</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143</v>
      </c>
      <c r="B64" s="3" t="s">
        <v>144</v>
      </c>
      <c r="C64" s="3" t="s">
        <v>31</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145</v>
      </c>
      <c r="B65" s="3" t="s">
        <v>146</v>
      </c>
      <c r="C65" s="3" t="s">
        <v>34</v>
      </c>
      <c r="D65" s="4">
        <v>75</v>
      </c>
      <c r="E65" s="4">
        <v>75</v>
      </c>
      <c r="F65" s="4">
        <v>89</v>
      </c>
      <c r="G65" s="4">
        <v>97</v>
      </c>
      <c r="H65" s="4">
        <v>49</v>
      </c>
      <c r="I65" s="5">
        <f t="shared" si="0"/>
        <v>385</v>
      </c>
      <c r="J65" s="5">
        <v>500</v>
      </c>
      <c r="K65" s="6">
        <f t="shared" si="1"/>
        <v>0.77</v>
      </c>
      <c r="L65" s="7">
        <f t="shared" si="2"/>
        <v>0.22999999999999998</v>
      </c>
    </row>
    <row r="66" spans="1:12" x14ac:dyDescent="0.3">
      <c r="A66" s="2" t="s">
        <v>147</v>
      </c>
      <c r="B66" s="3" t="s">
        <v>148</v>
      </c>
      <c r="C66" s="3" t="s">
        <v>13</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149</v>
      </c>
      <c r="B67" s="3" t="s">
        <v>150</v>
      </c>
      <c r="C67" s="3" t="s">
        <v>16</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151</v>
      </c>
      <c r="B68" s="3" t="s">
        <v>152</v>
      </c>
      <c r="C68" s="3" t="s">
        <v>19</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153</v>
      </c>
      <c r="B69" s="3" t="s">
        <v>154</v>
      </c>
      <c r="C69" s="3" t="s">
        <v>22</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155</v>
      </c>
      <c r="B70" s="3" t="s">
        <v>156</v>
      </c>
      <c r="C70" s="3" t="s">
        <v>25</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157</v>
      </c>
      <c r="B71" s="3" t="s">
        <v>158</v>
      </c>
      <c r="C71" s="3" t="s">
        <v>28</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159</v>
      </c>
      <c r="B72" s="3" t="s">
        <v>160</v>
      </c>
      <c r="C72" s="3" t="s">
        <v>31</v>
      </c>
      <c r="D72" s="4">
        <v>68</v>
      </c>
      <c r="E72" s="4">
        <v>36</v>
      </c>
      <c r="F72" s="4">
        <v>15</v>
      </c>
      <c r="G72" s="4">
        <v>20</v>
      </c>
      <c r="H72" s="4">
        <v>17</v>
      </c>
      <c r="I72" s="5">
        <f t="shared" si="3"/>
        <v>156</v>
      </c>
      <c r="J72" s="5">
        <v>500</v>
      </c>
      <c r="K72" s="6">
        <f t="shared" si="4"/>
        <v>0.312</v>
      </c>
      <c r="L72" s="7">
        <f t="shared" si="5"/>
        <v>0.68799999999999994</v>
      </c>
    </row>
    <row r="73" spans="1:12" x14ac:dyDescent="0.3">
      <c r="A73" s="2" t="s">
        <v>161</v>
      </c>
      <c r="B73" s="3" t="s">
        <v>162</v>
      </c>
      <c r="C73" s="3" t="s">
        <v>34</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163</v>
      </c>
      <c r="B74" s="3" t="s">
        <v>164</v>
      </c>
      <c r="C74" s="3" t="s">
        <v>13</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165</v>
      </c>
      <c r="B75" s="3" t="s">
        <v>166</v>
      </c>
      <c r="C75" s="3" t="s">
        <v>16</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167</v>
      </c>
      <c r="B76" s="3" t="s">
        <v>168</v>
      </c>
      <c r="C76" s="3" t="s">
        <v>19</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169</v>
      </c>
      <c r="B77" s="3" t="s">
        <v>170</v>
      </c>
      <c r="C77" s="3" t="s">
        <v>22</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171</v>
      </c>
      <c r="B78" s="3" t="s">
        <v>172</v>
      </c>
      <c r="C78" s="3" t="s">
        <v>25</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173</v>
      </c>
      <c r="B79" s="3" t="s">
        <v>174</v>
      </c>
      <c r="C79" s="3" t="s">
        <v>28</v>
      </c>
      <c r="D79" s="4">
        <v>50</v>
      </c>
      <c r="E79" s="4">
        <v>44</v>
      </c>
      <c r="F79" s="4">
        <v>46</v>
      </c>
      <c r="G79" s="4">
        <v>13</v>
      </c>
      <c r="H79" s="4">
        <v>92</v>
      </c>
      <c r="I79" s="5">
        <f t="shared" si="3"/>
        <v>245</v>
      </c>
      <c r="J79" s="5">
        <v>500</v>
      </c>
      <c r="K79" s="6">
        <f t="shared" si="4"/>
        <v>0.49</v>
      </c>
      <c r="L79" s="7">
        <f t="shared" si="5"/>
        <v>0.51</v>
      </c>
    </row>
    <row r="80" spans="1:12" x14ac:dyDescent="0.3">
      <c r="A80" s="2" t="s">
        <v>175</v>
      </c>
      <c r="B80" s="3" t="s">
        <v>176</v>
      </c>
      <c r="C80" s="3" t="s">
        <v>31</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177</v>
      </c>
      <c r="B81" s="3" t="s">
        <v>178</v>
      </c>
      <c r="C81" s="3" t="s">
        <v>34</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179</v>
      </c>
      <c r="B82" s="3" t="s">
        <v>180</v>
      </c>
      <c r="C82" s="3" t="s">
        <v>13</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181</v>
      </c>
      <c r="B83" s="3" t="s">
        <v>182</v>
      </c>
      <c r="C83" s="3" t="s">
        <v>16</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183</v>
      </c>
      <c r="B84" s="3" t="s">
        <v>184</v>
      </c>
      <c r="C84" s="3" t="s">
        <v>19</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185</v>
      </c>
      <c r="B85" s="3" t="s">
        <v>186</v>
      </c>
      <c r="C85" s="3" t="s">
        <v>22</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187</v>
      </c>
      <c r="B86" s="3" t="s">
        <v>188</v>
      </c>
      <c r="C86" s="3" t="s">
        <v>25</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189</v>
      </c>
      <c r="B87" s="3" t="s">
        <v>190</v>
      </c>
      <c r="C87" s="3" t="s">
        <v>28</v>
      </c>
      <c r="D87" s="4">
        <v>46</v>
      </c>
      <c r="E87" s="4">
        <v>19</v>
      </c>
      <c r="F87" s="4">
        <v>59</v>
      </c>
      <c r="G87" s="4">
        <v>58</v>
      </c>
      <c r="H87" s="4">
        <v>33</v>
      </c>
      <c r="I87" s="5">
        <f t="shared" si="3"/>
        <v>215</v>
      </c>
      <c r="J87" s="5">
        <v>500</v>
      </c>
      <c r="K87" s="6">
        <f t="shared" si="4"/>
        <v>0.43</v>
      </c>
      <c r="L87" s="7">
        <f t="shared" si="5"/>
        <v>0.57000000000000006</v>
      </c>
    </row>
    <row r="88" spans="1:12" x14ac:dyDescent="0.3">
      <c r="A88" s="2" t="s">
        <v>191</v>
      </c>
      <c r="B88" s="3" t="s">
        <v>192</v>
      </c>
      <c r="C88" s="3" t="s">
        <v>31</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193</v>
      </c>
      <c r="B89" s="3" t="s">
        <v>194</v>
      </c>
      <c r="C89" s="3" t="s">
        <v>34</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195</v>
      </c>
      <c r="B90" s="3" t="s">
        <v>196</v>
      </c>
      <c r="C90" s="3" t="s">
        <v>13</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197</v>
      </c>
      <c r="B91" s="3" t="s">
        <v>198</v>
      </c>
      <c r="C91" s="3" t="s">
        <v>16</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199</v>
      </c>
      <c r="B92" s="3" t="s">
        <v>200</v>
      </c>
      <c r="C92" s="3" t="s">
        <v>19</v>
      </c>
      <c r="D92" s="4">
        <v>80</v>
      </c>
      <c r="E92" s="4">
        <v>73</v>
      </c>
      <c r="F92" s="4">
        <v>21</v>
      </c>
      <c r="G92" s="4">
        <v>72</v>
      </c>
      <c r="H92" s="4">
        <v>54</v>
      </c>
      <c r="I92" s="5">
        <f t="shared" si="3"/>
        <v>300</v>
      </c>
      <c r="J92" s="5">
        <v>500</v>
      </c>
      <c r="K92" s="6">
        <f t="shared" si="4"/>
        <v>0.6</v>
      </c>
      <c r="L92" s="7">
        <f t="shared" si="5"/>
        <v>0.4</v>
      </c>
    </row>
    <row r="93" spans="1:12" x14ac:dyDescent="0.3">
      <c r="A93" s="2" t="s">
        <v>201</v>
      </c>
      <c r="B93" s="3" t="s">
        <v>202</v>
      </c>
      <c r="C93" s="3" t="s">
        <v>22</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203</v>
      </c>
      <c r="B94" s="3" t="s">
        <v>204</v>
      </c>
      <c r="C94" s="3" t="s">
        <v>25</v>
      </c>
      <c r="D94" s="4">
        <v>18</v>
      </c>
      <c r="E94" s="4">
        <v>80</v>
      </c>
      <c r="F94" s="4">
        <v>20</v>
      </c>
      <c r="G94" s="4">
        <v>32</v>
      </c>
      <c r="H94" s="4">
        <v>95</v>
      </c>
      <c r="I94" s="5">
        <f t="shared" si="3"/>
        <v>245</v>
      </c>
      <c r="J94" s="5">
        <v>500</v>
      </c>
      <c r="K94" s="6">
        <f t="shared" si="4"/>
        <v>0.49</v>
      </c>
      <c r="L94" s="7">
        <f t="shared" si="5"/>
        <v>0.51</v>
      </c>
    </row>
    <row r="95" spans="1:12" x14ac:dyDescent="0.3">
      <c r="A95" s="2" t="s">
        <v>205</v>
      </c>
      <c r="B95" s="3" t="s">
        <v>206</v>
      </c>
      <c r="C95" s="3" t="s">
        <v>28</v>
      </c>
      <c r="D95" s="4">
        <v>96</v>
      </c>
      <c r="E95" s="4">
        <v>14</v>
      </c>
      <c r="F95" s="4">
        <v>20</v>
      </c>
      <c r="G95" s="4">
        <v>31</v>
      </c>
      <c r="H95" s="4">
        <v>44</v>
      </c>
      <c r="I95" s="5">
        <f t="shared" si="3"/>
        <v>205</v>
      </c>
      <c r="J95" s="5">
        <v>500</v>
      </c>
      <c r="K95" s="6">
        <f t="shared" si="4"/>
        <v>0.41</v>
      </c>
      <c r="L95" s="7">
        <f t="shared" si="5"/>
        <v>0.59000000000000008</v>
      </c>
    </row>
    <row r="96" spans="1:12" x14ac:dyDescent="0.3">
      <c r="A96" s="2" t="s">
        <v>207</v>
      </c>
      <c r="B96" s="3" t="s">
        <v>208</v>
      </c>
      <c r="C96" s="3" t="s">
        <v>31</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209</v>
      </c>
      <c r="B97" s="3" t="s">
        <v>210</v>
      </c>
      <c r="C97" s="3" t="s">
        <v>34</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211</v>
      </c>
      <c r="B98" s="3" t="s">
        <v>212</v>
      </c>
      <c r="C98" s="3" t="s">
        <v>13</v>
      </c>
      <c r="D98" s="4">
        <v>31</v>
      </c>
      <c r="E98" s="4">
        <v>48</v>
      </c>
      <c r="F98" s="4">
        <v>56</v>
      </c>
      <c r="G98" s="4">
        <v>85</v>
      </c>
      <c r="H98" s="4">
        <v>25</v>
      </c>
      <c r="I98" s="5">
        <f t="shared" si="3"/>
        <v>245</v>
      </c>
      <c r="J98" s="5">
        <v>500</v>
      </c>
      <c r="K98" s="6">
        <f t="shared" si="4"/>
        <v>0.49</v>
      </c>
      <c r="L98" s="7">
        <f t="shared" si="5"/>
        <v>0.51</v>
      </c>
    </row>
    <row r="99" spans="1:12" x14ac:dyDescent="0.3">
      <c r="A99" s="2" t="s">
        <v>213</v>
      </c>
      <c r="B99" s="3" t="s">
        <v>214</v>
      </c>
      <c r="C99" s="3" t="s">
        <v>16</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215</v>
      </c>
      <c r="B100" s="3" t="s">
        <v>216</v>
      </c>
      <c r="C100" s="3" t="s">
        <v>19</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217</v>
      </c>
      <c r="B101" s="3" t="s">
        <v>218</v>
      </c>
      <c r="C101" s="3" t="s">
        <v>22</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219</v>
      </c>
      <c r="B102" s="3" t="s">
        <v>220</v>
      </c>
      <c r="C102" s="3" t="s">
        <v>25</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221</v>
      </c>
      <c r="B103" s="3" t="s">
        <v>222</v>
      </c>
      <c r="C103" s="3" t="s">
        <v>28</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223</v>
      </c>
      <c r="B104" s="3" t="s">
        <v>224</v>
      </c>
      <c r="C104" s="3" t="s">
        <v>31</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225</v>
      </c>
      <c r="B105" s="3" t="s">
        <v>226</v>
      </c>
      <c r="C105" s="3" t="s">
        <v>34</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227</v>
      </c>
      <c r="B106" s="3" t="s">
        <v>228</v>
      </c>
      <c r="C106" s="3" t="s">
        <v>13</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229</v>
      </c>
      <c r="B107" s="3" t="s">
        <v>230</v>
      </c>
      <c r="C107" s="3" t="s">
        <v>16</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231</v>
      </c>
      <c r="B108" s="3" t="s">
        <v>232</v>
      </c>
      <c r="C108" s="3" t="s">
        <v>19</v>
      </c>
      <c r="D108" s="4">
        <v>61</v>
      </c>
      <c r="E108" s="4">
        <v>91</v>
      </c>
      <c r="F108" s="4">
        <v>53</v>
      </c>
      <c r="G108" s="4">
        <v>78</v>
      </c>
      <c r="H108" s="4">
        <v>91</v>
      </c>
      <c r="I108" s="5">
        <f t="shared" si="3"/>
        <v>374</v>
      </c>
      <c r="J108" s="5">
        <v>500</v>
      </c>
      <c r="K108" s="6">
        <f t="shared" si="4"/>
        <v>0.748</v>
      </c>
      <c r="L108" s="7">
        <f t="shared" si="5"/>
        <v>0.252</v>
      </c>
    </row>
    <row r="109" spans="1:12" x14ac:dyDescent="0.3">
      <c r="A109" s="2" t="s">
        <v>233</v>
      </c>
      <c r="B109" s="3" t="s">
        <v>234</v>
      </c>
      <c r="C109" s="3" t="s">
        <v>22</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235</v>
      </c>
      <c r="B110" s="3" t="s">
        <v>236</v>
      </c>
      <c r="C110" s="3" t="s">
        <v>25</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237</v>
      </c>
      <c r="B111" s="3" t="s">
        <v>238</v>
      </c>
      <c r="C111" s="3" t="s">
        <v>28</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239</v>
      </c>
      <c r="B112" s="3" t="s">
        <v>240</v>
      </c>
      <c r="C112" s="3" t="s">
        <v>31</v>
      </c>
      <c r="D112" s="4">
        <v>39</v>
      </c>
      <c r="E112" s="4">
        <v>52</v>
      </c>
      <c r="F112" s="4">
        <v>72</v>
      </c>
      <c r="G112" s="4">
        <v>99</v>
      </c>
      <c r="H112" s="4">
        <v>58</v>
      </c>
      <c r="I112" s="5">
        <f t="shared" si="3"/>
        <v>320</v>
      </c>
      <c r="J112" s="5">
        <v>500</v>
      </c>
      <c r="K112" s="6">
        <f t="shared" si="4"/>
        <v>0.64</v>
      </c>
      <c r="L112" s="7">
        <f t="shared" si="5"/>
        <v>0.36</v>
      </c>
    </row>
    <row r="113" spans="1:12" x14ac:dyDescent="0.3">
      <c r="A113" s="2" t="s">
        <v>241</v>
      </c>
      <c r="B113" s="3" t="s">
        <v>242</v>
      </c>
      <c r="C113" s="3" t="s">
        <v>34</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243</v>
      </c>
      <c r="B114" s="3" t="s">
        <v>244</v>
      </c>
      <c r="C114" s="3" t="s">
        <v>13</v>
      </c>
      <c r="D114" s="4">
        <v>43</v>
      </c>
      <c r="E114" s="4">
        <v>88</v>
      </c>
      <c r="F114" s="4">
        <v>35</v>
      </c>
      <c r="G114" s="4">
        <v>54</v>
      </c>
      <c r="H114" s="4">
        <v>91</v>
      </c>
      <c r="I114" s="5">
        <f t="shared" si="3"/>
        <v>311</v>
      </c>
      <c r="J114" s="5">
        <v>500</v>
      </c>
      <c r="K114" s="6">
        <f t="shared" si="4"/>
        <v>0.622</v>
      </c>
      <c r="L114" s="7">
        <f t="shared" si="5"/>
        <v>0.378</v>
      </c>
    </row>
    <row r="115" spans="1:12" x14ac:dyDescent="0.3">
      <c r="A115" s="2" t="s">
        <v>245</v>
      </c>
      <c r="B115" s="3" t="s">
        <v>246</v>
      </c>
      <c r="C115" s="3" t="s">
        <v>16</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247</v>
      </c>
      <c r="B116" s="3" t="s">
        <v>248</v>
      </c>
      <c r="C116" s="3" t="s">
        <v>19</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249</v>
      </c>
      <c r="B117" s="3" t="s">
        <v>250</v>
      </c>
      <c r="C117" s="3" t="s">
        <v>22</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251</v>
      </c>
      <c r="B118" s="3" t="s">
        <v>252</v>
      </c>
      <c r="C118" s="3" t="s">
        <v>25</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253</v>
      </c>
      <c r="B119" s="3" t="s">
        <v>254</v>
      </c>
      <c r="C119" s="3" t="s">
        <v>28</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255</v>
      </c>
      <c r="B120" s="3" t="s">
        <v>256</v>
      </c>
      <c r="C120" s="3" t="s">
        <v>31</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257</v>
      </c>
      <c r="B121" s="3" t="s">
        <v>258</v>
      </c>
      <c r="C121" s="3" t="s">
        <v>34</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259</v>
      </c>
      <c r="B122" s="3" t="s">
        <v>260</v>
      </c>
      <c r="C122" s="3" t="s">
        <v>13</v>
      </c>
      <c r="D122" s="4">
        <v>91</v>
      </c>
      <c r="E122" s="4">
        <v>38</v>
      </c>
      <c r="F122" s="4">
        <v>33</v>
      </c>
      <c r="G122" s="4">
        <v>55</v>
      </c>
      <c r="H122" s="4">
        <v>83</v>
      </c>
      <c r="I122" s="5">
        <f t="shared" si="3"/>
        <v>300</v>
      </c>
      <c r="J122" s="5">
        <v>500</v>
      </c>
      <c r="K122" s="6">
        <f t="shared" si="4"/>
        <v>0.6</v>
      </c>
      <c r="L122" s="7">
        <f t="shared" si="5"/>
        <v>0.4</v>
      </c>
    </row>
    <row r="123" spans="1:12" x14ac:dyDescent="0.3">
      <c r="A123" s="2" t="s">
        <v>261</v>
      </c>
      <c r="B123" s="3" t="s">
        <v>262</v>
      </c>
      <c r="C123" s="3" t="s">
        <v>16</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263</v>
      </c>
      <c r="B124" s="3" t="s">
        <v>264</v>
      </c>
      <c r="C124" s="3" t="s">
        <v>19</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265</v>
      </c>
      <c r="B125" s="3" t="s">
        <v>266</v>
      </c>
      <c r="C125" s="3" t="s">
        <v>22</v>
      </c>
      <c r="D125" s="4">
        <v>26</v>
      </c>
      <c r="E125" s="4">
        <v>16</v>
      </c>
      <c r="F125" s="4">
        <v>61</v>
      </c>
      <c r="G125" s="4">
        <v>92</v>
      </c>
      <c r="H125" s="4">
        <v>50</v>
      </c>
      <c r="I125" s="5">
        <f t="shared" si="3"/>
        <v>245</v>
      </c>
      <c r="J125" s="5">
        <v>500</v>
      </c>
      <c r="K125" s="6">
        <f t="shared" si="4"/>
        <v>0.49</v>
      </c>
      <c r="L125" s="7">
        <f t="shared" si="5"/>
        <v>0.51</v>
      </c>
    </row>
    <row r="126" spans="1:12" x14ac:dyDescent="0.3">
      <c r="A126" s="2" t="s">
        <v>267</v>
      </c>
      <c r="B126" s="3" t="s">
        <v>268</v>
      </c>
      <c r="C126" s="3" t="s">
        <v>25</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269</v>
      </c>
      <c r="B127" s="3" t="s">
        <v>270</v>
      </c>
      <c r="C127" s="3" t="s">
        <v>28</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271</v>
      </c>
      <c r="B128" s="3" t="s">
        <v>272</v>
      </c>
      <c r="C128" s="3" t="s">
        <v>31</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273</v>
      </c>
      <c r="B129" s="3" t="s">
        <v>274</v>
      </c>
      <c r="C129" s="3" t="s">
        <v>34</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275</v>
      </c>
      <c r="B130" s="3" t="s">
        <v>276</v>
      </c>
      <c r="C130" s="3" t="s">
        <v>13</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277</v>
      </c>
      <c r="B131" s="3" t="s">
        <v>278</v>
      </c>
      <c r="C131" s="3" t="s">
        <v>16</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279</v>
      </c>
      <c r="B132" s="3" t="s">
        <v>280</v>
      </c>
      <c r="C132" s="3" t="s">
        <v>19</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281</v>
      </c>
      <c r="B133" s="3" t="s">
        <v>282</v>
      </c>
      <c r="C133" s="3" t="s">
        <v>22</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283</v>
      </c>
      <c r="B134" s="3" t="s">
        <v>284</v>
      </c>
      <c r="C134" s="3" t="s">
        <v>25</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285</v>
      </c>
      <c r="B135" s="3" t="s">
        <v>286</v>
      </c>
      <c r="C135" s="3" t="s">
        <v>28</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287</v>
      </c>
      <c r="B136" s="3" t="s">
        <v>288</v>
      </c>
      <c r="C136" s="3" t="s">
        <v>31</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289</v>
      </c>
      <c r="B137" s="3" t="s">
        <v>290</v>
      </c>
      <c r="C137" s="3" t="s">
        <v>34</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291</v>
      </c>
      <c r="B138" s="3" t="s">
        <v>292</v>
      </c>
      <c r="C138" s="3" t="s">
        <v>13</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293</v>
      </c>
      <c r="B139" s="3" t="s">
        <v>294</v>
      </c>
      <c r="C139" s="3" t="s">
        <v>16</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295</v>
      </c>
      <c r="B140" s="3" t="s">
        <v>296</v>
      </c>
      <c r="C140" s="3" t="s">
        <v>19</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297</v>
      </c>
      <c r="B141" s="3" t="s">
        <v>298</v>
      </c>
      <c r="C141" s="3" t="s">
        <v>22</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299</v>
      </c>
      <c r="B142" s="3" t="s">
        <v>300</v>
      </c>
      <c r="C142" s="3" t="s">
        <v>25</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DE678-224A-4F47-B67A-6E85EB43621F}">
  <sheetPr codeName="Sheet1"/>
  <dimension ref="A1:K21"/>
  <sheetViews>
    <sheetView workbookViewId="0">
      <selection activeCell="B2" sqref="B2"/>
    </sheetView>
  </sheetViews>
  <sheetFormatPr defaultRowHeight="14.4" x14ac:dyDescent="0.3"/>
  <cols>
    <col min="1" max="1" width="15.77734375" bestFit="1" customWidth="1"/>
    <col min="2" max="2" width="10.5546875" customWidth="1"/>
    <col min="3" max="3" width="5.5546875" style="14" customWidth="1"/>
    <col min="4" max="4" width="13.21875" customWidth="1"/>
    <col min="5" max="5" width="13.6640625" customWidth="1"/>
    <col min="6" max="6" width="5.6640625" customWidth="1"/>
    <col min="7" max="7" width="14.33203125" bestFit="1" customWidth="1"/>
    <col min="8" max="8" width="25.44140625" customWidth="1"/>
    <col min="9" max="9" width="3.6640625" customWidth="1"/>
    <col min="10" max="10" width="16" customWidth="1"/>
    <col min="11" max="11" width="24.6640625" customWidth="1"/>
  </cols>
  <sheetData>
    <row r="1" spans="1:11" ht="42.6" customHeight="1" x14ac:dyDescent="0.3">
      <c r="A1" s="13"/>
      <c r="B1" s="13"/>
      <c r="C1" s="13"/>
      <c r="D1" s="13"/>
      <c r="E1" s="13"/>
      <c r="F1" s="13"/>
      <c r="G1" s="13"/>
      <c r="H1" s="13"/>
      <c r="I1" s="13"/>
      <c r="J1" s="13"/>
      <c r="K1" s="13"/>
    </row>
    <row r="2" spans="1:11" ht="31.2" customHeight="1" x14ac:dyDescent="0.3">
      <c r="A2" s="13"/>
      <c r="B2" s="13"/>
      <c r="C2" s="13"/>
      <c r="D2" s="13"/>
      <c r="E2" s="13"/>
      <c r="F2" s="13"/>
      <c r="G2" s="13"/>
      <c r="H2" s="13"/>
      <c r="I2" s="13"/>
      <c r="J2" s="13"/>
      <c r="K2" s="13"/>
    </row>
    <row r="3" spans="1:11" x14ac:dyDescent="0.3">
      <c r="A3" s="9" t="s">
        <v>303</v>
      </c>
      <c r="B3" t="s">
        <v>304</v>
      </c>
      <c r="C3" s="13"/>
      <c r="D3" s="9" t="s">
        <v>303</v>
      </c>
      <c r="E3" t="s">
        <v>304</v>
      </c>
      <c r="F3" s="13"/>
      <c r="G3" s="9" t="s">
        <v>303</v>
      </c>
      <c r="H3" t="s">
        <v>305</v>
      </c>
      <c r="I3" s="13"/>
      <c r="J3" s="9" t="s">
        <v>303</v>
      </c>
      <c r="K3" t="s">
        <v>306</v>
      </c>
    </row>
    <row r="4" spans="1:11" x14ac:dyDescent="0.3">
      <c r="A4" s="10" t="s">
        <v>294</v>
      </c>
      <c r="B4" s="12">
        <v>382</v>
      </c>
      <c r="C4" s="13"/>
      <c r="D4" s="10" t="s">
        <v>252</v>
      </c>
      <c r="E4" s="12">
        <v>166</v>
      </c>
      <c r="F4" s="13"/>
      <c r="G4" s="10" t="s">
        <v>252</v>
      </c>
      <c r="H4" s="11">
        <v>0.33200000000000002</v>
      </c>
      <c r="I4" s="13"/>
      <c r="J4" s="10" t="s">
        <v>252</v>
      </c>
      <c r="K4" s="11">
        <v>0.66799999999999993</v>
      </c>
    </row>
    <row r="5" spans="1:11" x14ac:dyDescent="0.3">
      <c r="A5" s="10" t="s">
        <v>18</v>
      </c>
      <c r="B5" s="12">
        <v>379</v>
      </c>
      <c r="C5" s="13"/>
      <c r="D5" s="10" t="s">
        <v>164</v>
      </c>
      <c r="E5" s="12">
        <v>143</v>
      </c>
      <c r="F5" s="13"/>
      <c r="G5" s="10" t="s">
        <v>164</v>
      </c>
      <c r="H5" s="11">
        <v>0.28599999999999998</v>
      </c>
      <c r="I5" s="13"/>
      <c r="J5" s="10" t="s">
        <v>164</v>
      </c>
      <c r="K5" s="11">
        <v>0.71399999999999997</v>
      </c>
    </row>
    <row r="6" spans="1:11" x14ac:dyDescent="0.3">
      <c r="A6" s="10" t="s">
        <v>242</v>
      </c>
      <c r="B6" s="12">
        <v>389</v>
      </c>
      <c r="C6" s="13"/>
      <c r="D6" s="10" t="s">
        <v>160</v>
      </c>
      <c r="E6" s="12">
        <v>156</v>
      </c>
      <c r="F6" s="13"/>
      <c r="G6" s="10" t="s">
        <v>160</v>
      </c>
      <c r="H6" s="11">
        <v>0.312</v>
      </c>
      <c r="I6" s="13"/>
      <c r="J6" s="10" t="s">
        <v>160</v>
      </c>
      <c r="K6" s="11">
        <v>0.68799999999999994</v>
      </c>
    </row>
    <row r="7" spans="1:11" x14ac:dyDescent="0.3">
      <c r="A7" s="10" t="s">
        <v>186</v>
      </c>
      <c r="B7" s="12">
        <v>384</v>
      </c>
      <c r="C7" s="13"/>
      <c r="D7" s="10" t="s">
        <v>156</v>
      </c>
      <c r="E7" s="12">
        <v>171</v>
      </c>
      <c r="F7" s="13"/>
      <c r="G7" s="10" t="s">
        <v>156</v>
      </c>
      <c r="H7" s="11">
        <v>0.34200000000000003</v>
      </c>
      <c r="I7" s="13"/>
      <c r="J7" s="10" t="s">
        <v>156</v>
      </c>
      <c r="K7" s="11">
        <v>0.65799999999999992</v>
      </c>
    </row>
    <row r="8" spans="1:11" x14ac:dyDescent="0.3">
      <c r="A8" s="10" t="s">
        <v>146</v>
      </c>
      <c r="B8" s="12">
        <v>385</v>
      </c>
      <c r="C8" s="13"/>
      <c r="D8" s="10" t="s">
        <v>150</v>
      </c>
      <c r="E8" s="12">
        <v>166</v>
      </c>
      <c r="F8" s="13"/>
      <c r="G8" s="10" t="s">
        <v>150</v>
      </c>
      <c r="H8" s="11">
        <v>0.33200000000000002</v>
      </c>
      <c r="I8" s="13"/>
      <c r="J8" s="10" t="s">
        <v>150</v>
      </c>
      <c r="K8" s="11">
        <v>0.66799999999999993</v>
      </c>
    </row>
    <row r="9" spans="1:11" x14ac:dyDescent="0.3">
      <c r="A9" s="10" t="s">
        <v>302</v>
      </c>
      <c r="B9" s="12">
        <v>1919</v>
      </c>
      <c r="C9" s="13"/>
      <c r="D9" s="10" t="s">
        <v>302</v>
      </c>
      <c r="E9" s="12">
        <v>802</v>
      </c>
      <c r="F9" s="13"/>
      <c r="I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pratik londhe</cp:lastModifiedBy>
  <dcterms:created xsi:type="dcterms:W3CDTF">2022-05-30T01:30:00Z</dcterms:created>
  <dcterms:modified xsi:type="dcterms:W3CDTF">2026-06-12T21:44:59Z</dcterms:modified>
</cp:coreProperties>
</file>